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ew Dashboard" sheetId="1" r:id="rId4"/>
    <sheet state="visible" name="Code Review Findings" sheetId="2" r:id="rId5"/>
  </sheets>
  <definedNames>
    <definedName hidden="1" localSheetId="1" name="_xlnm._FilterDatabase">'Code Review Findings'!$A$1:$M$1000</definedName>
  </definedNames>
  <calcPr/>
  <extLst>
    <ext uri="GoogleSheetsCustomDataVersion2">
      <go:sheetsCustomData xmlns:go="http://customooxmlschemas.google.com/" r:id="rId6" roundtripDataChecksum="PuFfH6crrLbQHEohE2BaF6HVMuwyKmZ68etkosik5Y4="/>
    </ext>
  </extLst>
</workbook>
</file>

<file path=xl/sharedStrings.xml><?xml version="1.0" encoding="utf-8"?>
<sst xmlns="http://schemas.openxmlformats.org/spreadsheetml/2006/main" count="98" uniqueCount="83">
  <si>
    <t>Rule File Name</t>
  </si>
  <si>
    <t>Rule Serial Number</t>
  </si>
  <si>
    <t>Cumulative Review | All Completed 500-Line Chunks</t>
  </si>
  <si>
    <t>Rule Name / Heading</t>
  </si>
  <si>
    <t>Rule Tag</t>
  </si>
  <si>
    <t>Object Impacted</t>
  </si>
  <si>
    <t>Review Scope</t>
  </si>
  <si>
    <t>All Completed Chunks</t>
  </si>
  <si>
    <t>Line Number(s)</t>
  </si>
  <si>
    <t>Error / Violation Remarks</t>
  </si>
  <si>
    <t>Recommended Fix</t>
  </si>
  <si>
    <t>Remediation Status</t>
  </si>
  <si>
    <t>Developer Comments</t>
  </si>
  <si>
    <t>Target Completion Date</t>
  </si>
  <si>
    <t>Reviewer Sign-Off</t>
  </si>
  <si>
    <t>Latest Chunk</t>
  </si>
  <si>
    <t>Review Chunk</t>
  </si>
  <si>
    <t>Coverage</t>
  </si>
  <si>
    <t>Last Updated</t>
  </si>
  <si>
    <t>Review Status</t>
  </si>
  <si>
    <t>TOTAL FINDINGS</t>
  </si>
  <si>
    <t>CRITICAL VIOLATIONS</t>
  </si>
  <si>
    <t>RECOMMENDATIONS</t>
  </si>
  <si>
    <t>OPEN FINDINGS</t>
  </si>
  <si>
    <t>REMEDIATED</t>
  </si>
  <si>
    <t>REVIEW CHUNKS</t>
  </si>
  <si>
    <t>Severity</t>
  </si>
  <si>
    <t>Findings</t>
  </si>
  <si>
    <t>Rule Area</t>
  </si>
  <si>
    <t>Status</t>
  </si>
  <si>
    <t>MUST</t>
  </si>
  <si>
    <t>architecture_design_rules</t>
  </si>
  <si>
    <t>Open</t>
  </si>
  <si>
    <t>Chunk 1</t>
  </si>
  <si>
    <t>MUST NOT</t>
  </si>
  <si>
    <t>coding_rules</t>
  </si>
  <si>
    <t>In Progress</t>
  </si>
  <si>
    <t>Chunk 2</t>
  </si>
  <si>
    <t>SHOULD</t>
  </si>
  <si>
    <t>general_rules</t>
  </si>
  <si>
    <t>Remediated</t>
  </si>
  <si>
    <t>Chunk 3</t>
  </si>
  <si>
    <t>SHOULD NOT</t>
  </si>
  <si>
    <t>naming_conventions</t>
  </si>
  <si>
    <t>Closed</t>
  </si>
  <si>
    <t>Chunk 4</t>
  </si>
  <si>
    <t>obsolescence_rules</t>
  </si>
  <si>
    <t>Pending</t>
  </si>
  <si>
    <t>Chunk 5</t>
  </si>
  <si>
    <t>performance</t>
  </si>
  <si>
    <t>Chunk 6</t>
  </si>
  <si>
    <t>security_rules</t>
  </si>
  <si>
    <t>Chunk 7</t>
  </si>
  <si>
    <t>spool_rules</t>
  </si>
  <si>
    <t>Chunk 8</t>
  </si>
  <si>
    <t>standard_modification_rules</t>
  </si>
  <si>
    <t>Chunk 9</t>
  </si>
  <si>
    <t>structure_abap_program</t>
  </si>
  <si>
    <t>Chunk 10</t>
  </si>
  <si>
    <t>Chunk 11</t>
  </si>
  <si>
    <t>Chunk 12</t>
  </si>
  <si>
    <t>Chunk 13</t>
  </si>
  <si>
    <t>Chunk 14</t>
  </si>
  <si>
    <t>REVIEW MATRIX</t>
  </si>
  <si>
    <t>Review Area</t>
  </si>
  <si>
    <t>Rules Evaluated</t>
  </si>
  <si>
    <t>Critical</t>
  </si>
  <si>
    <t>Recommendations</t>
  </si>
  <si>
    <t>Architecture &amp; Design</t>
  </si>
  <si>
    <t>Yes</t>
  </si>
  <si>
    <t>Coding</t>
  </si>
  <si>
    <t>General</t>
  </si>
  <si>
    <t>Naming Conventions</t>
  </si>
  <si>
    <t>Obsolescence</t>
  </si>
  <si>
    <t>Performance</t>
  </si>
  <si>
    <t>Security</t>
  </si>
  <si>
    <t>Spool</t>
  </si>
  <si>
    <t>Standard Modifications</t>
  </si>
  <si>
    <t>Program Structure</t>
  </si>
  <si>
    <t>Chunk 27</t>
  </si>
  <si>
    <t>Chunk 28</t>
  </si>
  <si>
    <t>Chunk 29</t>
  </si>
  <si>
    <t>Chunk 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</si>
</sst>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22.0"/>
      <color rgb="FFFFFFFF"/>
      <name val="Calibri"/>
      <scheme val="minor"/>
    </font>
    <font/>
    <font>
      <b/>
      <color rgb="FFFFFFFF"/>
      <name val="Calibri"/>
      <scheme val="minor"/>
    </font>
    <font>
      <i/>
      <sz val="11.0"/>
      <color rgb="FF404040"/>
      <name val="Calibri"/>
      <scheme val="minor"/>
    </font>
    <font>
      <b/>
      <color rgb="FF404040"/>
      <name val="Calibri"/>
      <scheme val="minor"/>
    </font>
    <font>
      <sz val="11.0"/>
      <color theme="1"/>
      <name val="Calibri"/>
    </font>
    <font>
      <b/>
      <color rgb="FF1F4E78"/>
      <name val="Calibri"/>
      <scheme val="minor"/>
    </font>
    <font>
      <b/>
      <sz val="22.0"/>
      <color rgb="FF404040"/>
      <name val="Calibri"/>
      <scheme val="minor"/>
    </font>
    <font>
      <color theme="1"/>
      <name val="Calibri"/>
      <scheme val="minor"/>
    </font>
    <font>
      <b/>
      <sz val="12.0"/>
      <color rgb="FFFFFFFF"/>
      <name val="Calibri"/>
      <scheme val="minor"/>
    </font>
    <font>
      <b/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DDEBF7"/>
        <bgColor rgb="FFDDEBF7"/>
      </patternFill>
    </fill>
  </fills>
  <borders count="21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right/>
      <bottom/>
    </border>
    <border>
      <left/>
      <right/>
      <top/>
      <bottom/>
    </border>
    <border>
      <left style="thin">
        <color rgb="FFD0D0D0"/>
      </left>
      <top style="thin">
        <color rgb="FFD0D0D0"/>
      </top>
      <bottom style="thin">
        <color rgb="FFD0D0D0"/>
      </bottom>
    </border>
    <border>
      <top style="thin">
        <color rgb="FFD0D0D0"/>
      </top>
      <bottom style="thin">
        <color rgb="FFD0D0D0"/>
      </bottom>
    </border>
    <border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top style="thin">
        <color rgb="FFD0D0D0"/>
      </top>
    </border>
    <border>
      <top style="thin">
        <color rgb="FFD0D0D0"/>
      </top>
    </border>
    <border>
      <right style="thin">
        <color rgb="FFD0D0D0"/>
      </right>
      <top style="thin">
        <color rgb="FFD0D0D0"/>
      </top>
    </border>
    <border>
      <left style="thin">
        <color rgb="FFD0D0D0"/>
      </left>
      <bottom style="thin">
        <color rgb="FFD0D0D0"/>
      </bottom>
    </border>
    <border>
      <bottom style="thin">
        <color rgb="FFD0D0D0"/>
      </bottom>
    </border>
    <border>
      <right style="thin">
        <color rgb="FFD0D0D0"/>
      </right>
      <bottom style="thin">
        <color rgb="FFD0D0D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2" fontId="3" numFmtId="0" xfId="0" applyAlignment="1" applyBorder="1" applyFill="1" applyFont="1">
      <alignment horizontal="center" shrinkToFit="0" vertical="center" wrapText="1"/>
    </xf>
    <xf borderId="7" fillId="0" fontId="2" numFmtId="0" xfId="0" applyBorder="1" applyFont="1"/>
    <xf borderId="0" fillId="0" fontId="4" numFmtId="0" xfId="0" applyAlignment="1" applyFont="1">
      <alignment horizontal="center"/>
    </xf>
    <xf borderId="8" fillId="3" fontId="5" numFmtId="0" xfId="0" applyBorder="1" applyFill="1" applyFont="1"/>
    <xf borderId="6" fillId="2" fontId="3" numFmtId="0" xfId="0" applyAlignment="1" applyBorder="1" applyFill="1" applyFont="1">
      <alignment horizontal="center" readingOrder="0" shrinkToFit="0" vertical="center" wrapText="1"/>
    </xf>
    <xf borderId="6" fillId="0" fontId="6" numFmtId="0" xfId="0" applyBorder="1" applyFont="1"/>
    <xf borderId="6" fillId="0" fontId="6" numFmtId="0" xfId="0" applyAlignment="1" applyBorder="1" applyFont="1">
      <alignment shrinkToFit="0" vertical="top" wrapText="1"/>
    </xf>
    <xf borderId="6" fillId="0" fontId="6" numFmtId="9" xfId="0" applyBorder="1" applyFont="1" applyNumberFormat="1"/>
    <xf borderId="9" fillId="4" fontId="7" numFmtId="0" xfId="0" applyAlignment="1" applyBorder="1" applyFill="1" applyFont="1">
      <alignment horizontal="center" vertical="center"/>
    </xf>
    <xf borderId="10" fillId="0" fontId="2" numFmtId="0" xfId="0" applyBorder="1" applyFont="1"/>
    <xf borderId="11" fillId="0" fontId="2" numFmtId="0" xfId="0" applyBorder="1" applyFont="1"/>
    <xf borderId="12" fillId="0" fontId="8" numFmtId="0" xfId="0" applyAlignment="1" applyBorder="1" applyFont="1">
      <alignment horizontal="center" vertical="center"/>
    </xf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2" fillId="0" fontId="8" numFmtId="0" xfId="0" applyAlignment="1" applyBorder="1" applyFont="1">
      <alignment horizontal="center" readingOrder="0" vertical="center"/>
    </xf>
    <xf borderId="0" fillId="0" fontId="9" numFmtId="0" xfId="0" applyFont="1"/>
    <xf borderId="18" fillId="2" fontId="10" numFmtId="0" xfId="0" applyAlignment="1" applyBorder="1" applyFill="1" applyFont="1">
      <alignment horizontal="center"/>
    </xf>
    <xf borderId="19" fillId="0" fontId="2" numFmtId="0" xfId="0" applyBorder="1" applyFont="1"/>
    <xf borderId="20" fillId="0" fontId="2" numFmtId="0" xfId="0" applyBorder="1" applyFont="1"/>
    <xf borderId="6" fillId="4" fontId="11" numFmtId="0" xfId="0" applyAlignment="1" applyBorder="1" applyFill="1" applyFont="1">
      <alignment horizontal="center" shrinkToFit="0" wrapText="1"/>
    </xf>
  </cellXfs>
  <cellStyles count="1">
    <cellStyle xfId="0" name="Normal" builtinId="0"/>
  </cellStyles>
  <dxfs count="3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0.0"/>
    <col customWidth="1" min="2" max="3" width="15.0"/>
    <col customWidth="1" min="4" max="4" width="3.0"/>
    <col customWidth="1" min="5" max="5" width="20.0"/>
    <col customWidth="1" min="6" max="7" width="15.0"/>
    <col customWidth="1" min="8" max="8" width="3.0"/>
    <col customWidth="1" min="9" max="9" width="20.0"/>
    <col customWidth="1" min="10" max="11" width="15.0"/>
    <col customWidth="1" min="12" max="26" width="8.71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7"/>
    </row>
    <row r="3">
      <c r="A3" s="8" t="s">
        <v>2</v>
      </c>
    </row>
    <row r="4">
      <c r="A4" s="9" t="s">
        <v>6</v>
      </c>
      <c r="B4" s="11" t="s">
        <v>7</v>
      </c>
      <c r="C4" s="9" t="s">
        <v>15</v>
      </c>
      <c r="D4" s="11" t="str">
        <f>IFERROR(LOOKUP(2,1/('Code Review Findings'!M2:M1000&lt;&gt;""),'Code Review Findings'!M2:M1000),"Not Started")</f>
        <v>Not Started</v>
      </c>
      <c r="E4" s="9" t="s">
        <v>17</v>
      </c>
      <c r="F4" s="13">
        <f>IF(COUNTA('Code Review Findings'!A2:A1000)=0,0,1)</f>
        <v>0</v>
      </c>
      <c r="G4" s="9" t="s">
        <v>18</v>
      </c>
      <c r="H4" s="11"/>
      <c r="I4" s="9" t="s">
        <v>19</v>
      </c>
      <c r="J4" s="11" t="str">
        <f>IF(COUNTA('Code Review Findings'!A2:A1000)=0,"No Findings","Active")</f>
        <v>No Findings</v>
      </c>
    </row>
    <row r="6">
      <c r="A6" s="14" t="s">
        <v>20</v>
      </c>
      <c r="B6" s="15"/>
      <c r="C6" s="16"/>
      <c r="E6" s="14" t="s">
        <v>21</v>
      </c>
      <c r="F6" s="15"/>
      <c r="G6" s="16"/>
      <c r="I6" s="14" t="s">
        <v>22</v>
      </c>
      <c r="J6" s="15"/>
      <c r="K6" s="16"/>
    </row>
    <row r="7">
      <c r="A7" s="17">
        <f>COUNTA('Code Review Findings'!A2:A1000)</f>
        <v>0</v>
      </c>
      <c r="B7" s="18"/>
      <c r="C7" s="19"/>
      <c r="E7" s="17">
        <f>COUNTIF('Code Review Findings'!D2:D1000,"MUST")+COUNTIF('Code Review Findings'!D2:D1000,"MUST NOT")</f>
        <v>0</v>
      </c>
      <c r="F7" s="18"/>
      <c r="G7" s="19"/>
      <c r="I7" s="17">
        <f>COUNTIF('Code Review Findings'!D2:D1000,"SHOULD")+COUNTIF('Code Review Findings'!D2:D1000,"SHOULD NOT")</f>
        <v>0</v>
      </c>
      <c r="J7" s="18"/>
      <c r="K7" s="19"/>
    </row>
    <row r="8">
      <c r="A8" s="20"/>
      <c r="B8" s="21"/>
      <c r="C8" s="22"/>
      <c r="E8" s="20"/>
      <c r="F8" s="21"/>
      <c r="G8" s="22"/>
      <c r="I8" s="20"/>
      <c r="J8" s="21"/>
      <c r="K8" s="22"/>
    </row>
    <row r="10">
      <c r="A10" s="14" t="s">
        <v>23</v>
      </c>
      <c r="B10" s="15"/>
      <c r="C10" s="16"/>
      <c r="E10" s="14" t="s">
        <v>24</v>
      </c>
      <c r="F10" s="15"/>
      <c r="G10" s="16"/>
      <c r="I10" s="14" t="s">
        <v>25</v>
      </c>
      <c r="J10" s="15"/>
      <c r="K10" s="16"/>
    </row>
    <row r="11">
      <c r="A11" s="17">
        <f>COUNTIF('Code Review Findings'!I2:I1000,"Open")</f>
        <v>0</v>
      </c>
      <c r="B11" s="18"/>
      <c r="C11" s="19"/>
      <c r="E11" s="17">
        <f>COUNTIF('Code Review Findings'!I2:I1000,"Remediated")</f>
        <v>0</v>
      </c>
      <c r="F11" s="18"/>
      <c r="G11" s="19"/>
      <c r="I11" s="23">
        <v>0.0</v>
      </c>
      <c r="J11" s="18"/>
      <c r="K11" s="19"/>
    </row>
    <row r="12">
      <c r="A12" s="20"/>
      <c r="B12" s="21"/>
      <c r="C12" s="22"/>
      <c r="E12" s="20"/>
      <c r="F12" s="21"/>
      <c r="G12" s="22"/>
      <c r="I12" s="20"/>
      <c r="J12" s="21"/>
      <c r="K12" s="2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hidden="1" customHeight="1">
      <c r="A30" s="24" t="s">
        <v>26</v>
      </c>
      <c r="B30" s="24" t="s">
        <v>27</v>
      </c>
      <c r="D30" s="24" t="s">
        <v>28</v>
      </c>
      <c r="E30" s="24" t="s">
        <v>27</v>
      </c>
      <c r="G30" s="24" t="s">
        <v>29</v>
      </c>
      <c r="H30" s="24" t="s">
        <v>27</v>
      </c>
      <c r="J30" s="24" t="s">
        <v>16</v>
      </c>
      <c r="K30" s="24" t="s">
        <v>27</v>
      </c>
    </row>
    <row r="31" ht="15.75" hidden="1" customHeight="1">
      <c r="A31" s="24" t="s">
        <v>30</v>
      </c>
      <c r="B31" s="24">
        <f>COUNTIF('Code Review Findings'!D2:D1000,A31)</f>
        <v>0</v>
      </c>
      <c r="D31" s="24" t="s">
        <v>31</v>
      </c>
      <c r="E31" s="24">
        <f>COUNTIF('Code Review Findings'!A2:A1000,D31)</f>
        <v>0</v>
      </c>
      <c r="G31" s="24" t="s">
        <v>32</v>
      </c>
      <c r="H31" s="24">
        <f>COUNTIF('Code Review Findings'!I2:I1000,G31)</f>
        <v>0</v>
      </c>
      <c r="J31" s="24" t="s">
        <v>33</v>
      </c>
      <c r="K31" s="24">
        <f>COUNTIF('Code Review Findings'!M2:M1000,J31)</f>
        <v>0</v>
      </c>
    </row>
    <row r="32" ht="15.75" hidden="1" customHeight="1">
      <c r="A32" s="24" t="s">
        <v>34</v>
      </c>
      <c r="B32" s="24">
        <f>COUNTIF('Code Review Findings'!D2:D1000,A32)</f>
        <v>0</v>
      </c>
      <c r="D32" s="24" t="s">
        <v>35</v>
      </c>
      <c r="E32" s="24">
        <f>COUNTIF('Code Review Findings'!A2:A1000,D32)</f>
        <v>0</v>
      </c>
      <c r="G32" s="24" t="s">
        <v>36</v>
      </c>
      <c r="H32" s="24">
        <f>COUNTIF('Code Review Findings'!I2:I1000,G32)</f>
        <v>0</v>
      </c>
      <c r="J32" s="24" t="s">
        <v>37</v>
      </c>
      <c r="K32" s="24">
        <f>COUNTIF('Code Review Findings'!M2:M1000,J32)</f>
        <v>0</v>
      </c>
    </row>
    <row r="33" ht="15.75" hidden="1" customHeight="1">
      <c r="A33" s="24" t="s">
        <v>38</v>
      </c>
      <c r="B33" s="24">
        <f>COUNTIF('Code Review Findings'!D2:D1000,A33)</f>
        <v>0</v>
      </c>
      <c r="D33" s="24" t="s">
        <v>39</v>
      </c>
      <c r="E33" s="24">
        <f>COUNTIF('Code Review Findings'!A2:A1000,D33)</f>
        <v>0</v>
      </c>
      <c r="G33" s="24" t="s">
        <v>40</v>
      </c>
      <c r="H33" s="24">
        <f>COUNTIF('Code Review Findings'!I2:I1000,G33)</f>
        <v>0</v>
      </c>
      <c r="J33" s="24" t="s">
        <v>41</v>
      </c>
      <c r="K33" s="24">
        <f>COUNTIF('Code Review Findings'!M2:M1000,J33)</f>
        <v>0</v>
      </c>
    </row>
    <row r="34" ht="15.75" hidden="1" customHeight="1">
      <c r="A34" s="24" t="s">
        <v>42</v>
      </c>
      <c r="B34" s="24">
        <f>COUNTIF('Code Review Findings'!D2:D1000,A34)</f>
        <v>0</v>
      </c>
      <c r="D34" s="24" t="s">
        <v>43</v>
      </c>
      <c r="E34" s="24">
        <f>COUNTIF('Code Review Findings'!A2:A1000,D34)</f>
        <v>0</v>
      </c>
      <c r="G34" s="24" t="s">
        <v>44</v>
      </c>
      <c r="H34" s="24">
        <f>COUNTIF('Code Review Findings'!I2:I1000,G34)</f>
        <v>0</v>
      </c>
      <c r="J34" s="24" t="s">
        <v>45</v>
      </c>
      <c r="K34" s="24">
        <f>COUNTIF('Code Review Findings'!M2:M1000,J34)</f>
        <v>0</v>
      </c>
    </row>
    <row r="35" ht="15.75" hidden="1" customHeight="1">
      <c r="D35" s="24" t="s">
        <v>46</v>
      </c>
      <c r="E35" s="24">
        <f>COUNTIF('Code Review Findings'!A2:A1000,D35)</f>
        <v>0</v>
      </c>
      <c r="G35" s="24" t="s">
        <v>47</v>
      </c>
      <c r="H35" s="24">
        <f>COUNTIF('Code Review Findings'!I2:I1000,G35)</f>
        <v>0</v>
      </c>
      <c r="J35" s="24" t="s">
        <v>48</v>
      </c>
      <c r="K35" s="24">
        <f>COUNTIF('Code Review Findings'!M2:M1000,J35)</f>
        <v>0</v>
      </c>
    </row>
    <row r="36" ht="15.75" hidden="1" customHeight="1">
      <c r="D36" s="24" t="s">
        <v>49</v>
      </c>
      <c r="E36" s="24">
        <f>COUNTIF('Code Review Findings'!A2:A1000,D36)</f>
        <v>0</v>
      </c>
      <c r="J36" s="24" t="s">
        <v>50</v>
      </c>
      <c r="K36" s="24">
        <f>COUNTIF('Code Review Findings'!M2:M1000,J36)</f>
        <v>0</v>
      </c>
    </row>
    <row r="37" ht="15.75" hidden="1" customHeight="1">
      <c r="D37" s="24" t="s">
        <v>51</v>
      </c>
      <c r="E37" s="24">
        <f>COUNTIF('Code Review Findings'!A2:A1000,D37)</f>
        <v>0</v>
      </c>
      <c r="J37" s="24" t="s">
        <v>52</v>
      </c>
      <c r="K37" s="24">
        <f>COUNTIF('Code Review Findings'!M2:M1000,J37)</f>
        <v>0</v>
      </c>
    </row>
    <row r="38" ht="15.75" hidden="1" customHeight="1">
      <c r="D38" s="24" t="s">
        <v>53</v>
      </c>
      <c r="E38" s="24">
        <f>COUNTIF('Code Review Findings'!A2:A1000,D38)</f>
        <v>0</v>
      </c>
      <c r="J38" s="24" t="s">
        <v>54</v>
      </c>
      <c r="K38" s="24">
        <f>COUNTIF('Code Review Findings'!M2:M1000,J38)</f>
        <v>0</v>
      </c>
    </row>
    <row r="39" ht="15.75" hidden="1" customHeight="1">
      <c r="D39" s="24" t="s">
        <v>55</v>
      </c>
      <c r="E39" s="24">
        <f>COUNTIF('Code Review Findings'!A2:A1000,D39)</f>
        <v>0</v>
      </c>
      <c r="J39" s="24" t="s">
        <v>56</v>
      </c>
      <c r="K39" s="24">
        <f>COUNTIF('Code Review Findings'!M2:M1000,J39)</f>
        <v>0</v>
      </c>
    </row>
    <row r="40" ht="15.75" hidden="1" customHeight="1">
      <c r="D40" s="24" t="s">
        <v>57</v>
      </c>
      <c r="E40" s="24">
        <f>COUNTIF('Code Review Findings'!A2:A1000,D40)</f>
        <v>0</v>
      </c>
      <c r="J40" s="24" t="s">
        <v>58</v>
      </c>
      <c r="K40" s="24">
        <f>COUNTIF('Code Review Findings'!M2:M1000,J40)</f>
        <v>0</v>
      </c>
    </row>
    <row r="41" ht="15.75" hidden="1" customHeight="1">
      <c r="J41" s="24" t="s">
        <v>59</v>
      </c>
      <c r="K41" s="24">
        <f>COUNTIF('Code Review Findings'!M2:M1000,J41)</f>
        <v>0</v>
      </c>
    </row>
    <row r="42" ht="15.75" hidden="1" customHeight="1">
      <c r="J42" s="24" t="s">
        <v>60</v>
      </c>
      <c r="K42" s="24">
        <f>COUNTIF('Code Review Findings'!M2:M1000,J42)</f>
        <v>0</v>
      </c>
    </row>
    <row r="43" ht="15.75" hidden="1" customHeight="1">
      <c r="J43" s="24" t="s">
        <v>61</v>
      </c>
      <c r="K43" s="24">
        <f>COUNTIF('Code Review Findings'!M2:M1000,J43)</f>
        <v>0</v>
      </c>
    </row>
    <row r="44" ht="15.75" hidden="1" customHeight="1">
      <c r="J44" s="24" t="s">
        <v>62</v>
      </c>
      <c r="K44" s="24">
        <f>COUNTIF('Code Review Findings'!M2:M1000,J44)</f>
        <v>0</v>
      </c>
    </row>
    <row r="45" ht="15.75" hidden="1" customHeight="1">
      <c r="E45" s="25" t="s">
        <v>63</v>
      </c>
      <c r="F45" s="26"/>
      <c r="G45" s="26"/>
      <c r="H45" s="26"/>
      <c r="I45" s="26"/>
      <c r="J45" s="26"/>
      <c r="K45" s="27"/>
    </row>
    <row r="46" ht="15.75" hidden="1" customHeight="1">
      <c r="E46" s="28" t="s">
        <v>64</v>
      </c>
      <c r="F46" s="28" t="s">
        <v>65</v>
      </c>
      <c r="G46" s="28" t="s">
        <v>27</v>
      </c>
      <c r="H46" s="28" t="s">
        <v>66</v>
      </c>
      <c r="I46" s="28" t="s">
        <v>67</v>
      </c>
      <c r="J46" s="28" t="s">
        <v>29</v>
      </c>
      <c r="K46" s="24">
        <f>COUNTIF('Code Review Findings'!M2:M1000,J46)</f>
        <v>0</v>
      </c>
    </row>
    <row r="47" ht="15.75" hidden="1" customHeight="1">
      <c r="E47" s="12" t="s">
        <v>68</v>
      </c>
      <c r="F47" s="12" t="s">
        <v>69</v>
      </c>
      <c r="G47" s="12">
        <f>COUNTIF('Code Review Findings'!A2:A1000,"architecture_design_rules")</f>
        <v>0</v>
      </c>
      <c r="H47" s="12">
        <f>COUNTIFS('Code Review Findings'!A2:A1000,"architecture_design_rules",'Code Review Findings'!D2:D1000,"MUST")+COUNTIFS('Code Review Findings'!A2:A1000,"architecture_design_rules",'Code Review Findings'!D2:D1000,"MUST NOT")</f>
        <v>0</v>
      </c>
      <c r="I47" s="12">
        <f>COUNTIFS('Code Review Findings'!A2:A1000,"architecture_design_rules",'Code Review Findings'!D2:D1000,"SHOULD")+COUNTIFS('Code Review Findings'!A2:A1000,"architecture_design_rules",'Code Review Findings'!D2:D1000,"SHOULD NOT")</f>
        <v>0</v>
      </c>
      <c r="J47" s="12" t="str">
        <f t="shared" ref="J47:J56" si="1">IF(H47&gt;0,"Critical",IF(I47&gt;0,"Attention",IF(G47&gt;0,"Compliant","Not Applicable")))</f>
        <v>Not Applicable</v>
      </c>
      <c r="K47" s="24">
        <f>COUNTIF('Code Review Findings'!M2:M1000,J47)</f>
        <v>0</v>
      </c>
    </row>
    <row r="48" ht="15.75" hidden="1" customHeight="1">
      <c r="E48" s="12" t="s">
        <v>70</v>
      </c>
      <c r="F48" s="12" t="s">
        <v>69</v>
      </c>
      <c r="G48" s="12">
        <f>COUNTIF('Code Review Findings'!A2:A1000,"coding_rules")</f>
        <v>0</v>
      </c>
      <c r="H48" s="12">
        <f>COUNTIFS('Code Review Findings'!A2:A1000,"coding_rules",'Code Review Findings'!D2:D1000,"MUST")+COUNTIFS('Code Review Findings'!A2:A1000,"coding_rules",'Code Review Findings'!D2:D1000,"MUST NOT")</f>
        <v>0</v>
      </c>
      <c r="I48" s="12">
        <f>COUNTIFS('Code Review Findings'!A2:A1000,"coding_rules",'Code Review Findings'!D2:D1000,"SHOULD")+COUNTIFS('Code Review Findings'!A2:A1000,"coding_rules",'Code Review Findings'!D2:D1000,"SHOULD NOT")</f>
        <v>0</v>
      </c>
      <c r="J48" s="12" t="str">
        <f t="shared" si="1"/>
        <v>Not Applicable</v>
      </c>
      <c r="K48" s="24">
        <f>COUNTIF('Code Review Findings'!M2:M1000,J48)</f>
        <v>0</v>
      </c>
    </row>
    <row r="49" ht="15.75" hidden="1" customHeight="1">
      <c r="E49" s="12" t="s">
        <v>71</v>
      </c>
      <c r="F49" s="12" t="s">
        <v>69</v>
      </c>
      <c r="G49" s="12">
        <f>COUNTIF('Code Review Findings'!A2:A1000,"general_rules")</f>
        <v>0</v>
      </c>
      <c r="H49" s="12">
        <f>COUNTIFS('Code Review Findings'!A2:A1000,"general_rules",'Code Review Findings'!D2:D1000,"MUST")+COUNTIFS('Code Review Findings'!A2:A1000,"general_rules",'Code Review Findings'!D2:D1000,"MUST NOT")</f>
        <v>0</v>
      </c>
      <c r="I49" s="12">
        <f>COUNTIFS('Code Review Findings'!A2:A1000,"general_rules",'Code Review Findings'!D2:D1000,"SHOULD")+COUNTIFS('Code Review Findings'!A2:A1000,"general_rules",'Code Review Findings'!D2:D1000,"SHOULD NOT")</f>
        <v>0</v>
      </c>
      <c r="J49" s="12" t="str">
        <f t="shared" si="1"/>
        <v>Not Applicable</v>
      </c>
      <c r="K49" s="24">
        <f>COUNTIF('Code Review Findings'!M2:M1000,J49)</f>
        <v>0</v>
      </c>
    </row>
    <row r="50" ht="15.75" hidden="1" customHeight="1">
      <c r="E50" s="12" t="s">
        <v>72</v>
      </c>
      <c r="F50" s="12" t="s">
        <v>69</v>
      </c>
      <c r="G50" s="12">
        <f>COUNTIF('Code Review Findings'!A2:A1000,"naming_conventions")</f>
        <v>0</v>
      </c>
      <c r="H50" s="12">
        <f>COUNTIFS('Code Review Findings'!A2:A1000,"naming_conventions",'Code Review Findings'!D2:D1000,"MUST")+COUNTIFS('Code Review Findings'!A2:A1000,"naming_conventions",'Code Review Findings'!D2:D1000,"MUST NOT")</f>
        <v>0</v>
      </c>
      <c r="I50" s="12">
        <f>COUNTIFS('Code Review Findings'!A2:A1000,"naming_conventions",'Code Review Findings'!D2:D1000,"SHOULD")+COUNTIFS('Code Review Findings'!A2:A1000,"naming_conventions",'Code Review Findings'!D2:D1000,"SHOULD NOT")</f>
        <v>0</v>
      </c>
      <c r="J50" s="12" t="str">
        <f t="shared" si="1"/>
        <v>Not Applicable</v>
      </c>
      <c r="K50" s="24">
        <f>COUNTIF('Code Review Findings'!M2:M1000,J50)</f>
        <v>0</v>
      </c>
    </row>
    <row r="51" ht="15.75" hidden="1" customHeight="1">
      <c r="E51" s="12" t="s">
        <v>73</v>
      </c>
      <c r="F51" s="12" t="s">
        <v>69</v>
      </c>
      <c r="G51" s="12">
        <f>COUNTIF('Code Review Findings'!A2:A1000,"obsolescence_rules")</f>
        <v>0</v>
      </c>
      <c r="H51" s="12">
        <f>COUNTIFS('Code Review Findings'!A2:A1000,"obsolescence_rules",'Code Review Findings'!D2:D1000,"MUST")+COUNTIFS('Code Review Findings'!A2:A1000,"obsolescence_rules",'Code Review Findings'!D2:D1000,"MUST NOT")</f>
        <v>0</v>
      </c>
      <c r="I51" s="12">
        <f>COUNTIFS('Code Review Findings'!A2:A1000,"obsolescence_rules",'Code Review Findings'!D2:D1000,"SHOULD")+COUNTIFS('Code Review Findings'!A2:A1000,"obsolescence_rules",'Code Review Findings'!D2:D1000,"SHOULD NOT")</f>
        <v>0</v>
      </c>
      <c r="J51" s="12" t="str">
        <f t="shared" si="1"/>
        <v>Not Applicable</v>
      </c>
      <c r="K51" s="24">
        <f>COUNTIF('Code Review Findings'!M2:M1000,J51)</f>
        <v>0</v>
      </c>
    </row>
    <row r="52" ht="15.75" hidden="1" customHeight="1">
      <c r="E52" s="12" t="s">
        <v>74</v>
      </c>
      <c r="F52" s="12" t="s">
        <v>69</v>
      </c>
      <c r="G52" s="12">
        <f>COUNTIF('Code Review Findings'!A2:A1000,"performance")</f>
        <v>0</v>
      </c>
      <c r="H52" s="12">
        <f>COUNTIFS('Code Review Findings'!A2:A1000,"performance",'Code Review Findings'!D2:D1000,"MUST")+COUNTIFS('Code Review Findings'!A2:A1000,"performance",'Code Review Findings'!D2:D1000,"MUST NOT")</f>
        <v>0</v>
      </c>
      <c r="I52" s="12">
        <f>COUNTIFS('Code Review Findings'!A2:A1000,"performance",'Code Review Findings'!D2:D1000,"SHOULD")+COUNTIFS('Code Review Findings'!A2:A1000,"performance",'Code Review Findings'!D2:D1000,"SHOULD NOT")</f>
        <v>0</v>
      </c>
      <c r="J52" s="12" t="str">
        <f t="shared" si="1"/>
        <v>Not Applicable</v>
      </c>
      <c r="K52" s="24">
        <f>COUNTIF('Code Review Findings'!M2:M1000,J52)</f>
        <v>0</v>
      </c>
    </row>
    <row r="53" ht="15.75" hidden="1" customHeight="1">
      <c r="E53" s="12" t="s">
        <v>75</v>
      </c>
      <c r="F53" s="12" t="s">
        <v>69</v>
      </c>
      <c r="G53" s="12">
        <f>COUNTIF('Code Review Findings'!A2:A1000,"security_rules")</f>
        <v>0</v>
      </c>
      <c r="H53" s="12">
        <f>COUNTIFS('Code Review Findings'!A2:A1000,"security_rules",'Code Review Findings'!D2:D1000,"MUST")+COUNTIFS('Code Review Findings'!A2:A1000,"security_rules",'Code Review Findings'!D2:D1000,"MUST NOT")</f>
        <v>0</v>
      </c>
      <c r="I53" s="12">
        <f>COUNTIFS('Code Review Findings'!A2:A1000,"security_rules",'Code Review Findings'!D2:D1000,"SHOULD")+COUNTIFS('Code Review Findings'!A2:A1000,"security_rules",'Code Review Findings'!D2:D1000,"SHOULD NOT")</f>
        <v>0</v>
      </c>
      <c r="J53" s="12" t="str">
        <f t="shared" si="1"/>
        <v>Not Applicable</v>
      </c>
      <c r="K53" s="24">
        <f>COUNTIF('Code Review Findings'!M2:M1000,J53)</f>
        <v>0</v>
      </c>
    </row>
    <row r="54" ht="15.75" hidden="1" customHeight="1">
      <c r="E54" s="12" t="s">
        <v>76</v>
      </c>
      <c r="F54" s="12" t="s">
        <v>69</v>
      </c>
      <c r="G54" s="12">
        <f>COUNTIF('Code Review Findings'!A2:A1000,"spool_rules")</f>
        <v>0</v>
      </c>
      <c r="H54" s="12">
        <f>COUNTIFS('Code Review Findings'!A2:A1000,"spool_rules",'Code Review Findings'!D2:D1000,"MUST")+COUNTIFS('Code Review Findings'!A2:A1000,"spool_rules",'Code Review Findings'!D2:D1000,"MUST NOT")</f>
        <v>0</v>
      </c>
      <c r="I54" s="12">
        <f>COUNTIFS('Code Review Findings'!A2:A1000,"spool_rules",'Code Review Findings'!D2:D1000,"SHOULD")+COUNTIFS('Code Review Findings'!A2:A1000,"spool_rules",'Code Review Findings'!D2:D1000,"SHOULD NOT")</f>
        <v>0</v>
      </c>
      <c r="J54" s="12" t="str">
        <f t="shared" si="1"/>
        <v>Not Applicable</v>
      </c>
      <c r="K54" s="24">
        <f>COUNTIF('Code Review Findings'!M2:M1000,J54)</f>
        <v>0</v>
      </c>
    </row>
    <row r="55" ht="15.75" hidden="1" customHeight="1">
      <c r="E55" s="12" t="s">
        <v>77</v>
      </c>
      <c r="F55" s="12" t="s">
        <v>69</v>
      </c>
      <c r="G55" s="12">
        <f>COUNTIF('Code Review Findings'!A2:A1000,"standard_modification_rules")</f>
        <v>0</v>
      </c>
      <c r="H55" s="12">
        <f>COUNTIFS('Code Review Findings'!A2:A1000,"standard_modification_rules",'Code Review Findings'!D2:D1000,"MUST")+COUNTIFS('Code Review Findings'!A2:A1000,"standard_modification_rules",'Code Review Findings'!D2:D1000,"MUST NOT")</f>
        <v>0</v>
      </c>
      <c r="I55" s="12">
        <f>COUNTIFS('Code Review Findings'!A2:A1000,"standard_modification_rules",'Code Review Findings'!D2:D1000,"SHOULD")+COUNTIFS('Code Review Findings'!A2:A1000,"standard_modification_rules",'Code Review Findings'!D2:D1000,"SHOULD NOT")</f>
        <v>0</v>
      </c>
      <c r="J55" s="12" t="str">
        <f t="shared" si="1"/>
        <v>Not Applicable</v>
      </c>
      <c r="K55" s="24">
        <f>COUNTIF('Code Review Findings'!M2:M1000,J55)</f>
        <v>0</v>
      </c>
    </row>
    <row r="56" ht="15.75" hidden="1" customHeight="1">
      <c r="E56" s="12" t="s">
        <v>78</v>
      </c>
      <c r="F56" s="12" t="s">
        <v>69</v>
      </c>
      <c r="G56" s="12">
        <f>COUNTIF('Code Review Findings'!A2:A1000,"structure_abap_program")</f>
        <v>0</v>
      </c>
      <c r="H56" s="12">
        <f>COUNTIFS('Code Review Findings'!A2:A1000,"structure_abap_program",'Code Review Findings'!D2:D1000,"MUST")+COUNTIFS('Code Review Findings'!A2:A1000,"structure_abap_program",'Code Review Findings'!D2:D1000,"MUST NOT")</f>
        <v>0</v>
      </c>
      <c r="I56" s="12">
        <f>COUNTIFS('Code Review Findings'!A2:A1000,"structure_abap_program",'Code Review Findings'!D2:D1000,"SHOULD")+COUNTIFS('Code Review Findings'!A2:A1000,"structure_abap_program",'Code Review Findings'!D2:D1000,"SHOULD NOT")</f>
        <v>0</v>
      </c>
      <c r="J56" s="12" t="str">
        <f t="shared" si="1"/>
        <v>Not Applicable</v>
      </c>
      <c r="K56" s="24">
        <f>COUNTIF('Code Review Findings'!M2:M1000,J56)</f>
        <v>0</v>
      </c>
    </row>
    <row r="57" ht="15.75" hidden="1" customHeight="1">
      <c r="J57" s="24" t="s">
        <v>79</v>
      </c>
      <c r="K57" s="24">
        <f>COUNTIF('Code Review Findings'!M2:M1000,J57)</f>
        <v>0</v>
      </c>
    </row>
    <row r="58" ht="15.75" hidden="1" customHeight="1">
      <c r="J58" s="24" t="s">
        <v>80</v>
      </c>
      <c r="K58" s="24">
        <f>COUNTIF('Code Review Findings'!M2:M1000,J58)</f>
        <v>0</v>
      </c>
    </row>
    <row r="59" ht="15.75" hidden="1" customHeight="1">
      <c r="J59" s="24" t="s">
        <v>81</v>
      </c>
      <c r="K59" s="24">
        <f>COUNTIF('Code Review Findings'!M2:M1000,J59)</f>
        <v>0</v>
      </c>
    </row>
    <row r="60" ht="15.75" hidden="1" customHeight="1">
      <c r="J60" s="24" t="s">
        <v>82</v>
      </c>
      <c r="K60" s="24">
        <f>COUNTIF('Code Review Findings'!M2:M1000,J60)</f>
        <v>0</v>
      </c>
    </row>
    <row r="61" ht="15.75" hidden="1" customHeight="1"/>
    <row r="62" ht="15.75" hidden="1" customHeight="1"/>
    <row r="63" ht="15.75" hidden="1" customHeight="1"/>
    <row r="64" ht="15.75" hidden="1" customHeight="1"/>
    <row r="65" ht="15.75" hidden="1" customHeight="1"/>
    <row r="66" ht="15.75" hidden="1" customHeight="1"/>
    <row r="67" ht="15.75" hidden="1" customHeight="1"/>
    <row r="68" ht="15.75" hidden="1" customHeight="1"/>
    <row r="69" ht="15.75" hidden="1" customHeight="1"/>
    <row r="70" ht="15.75" hidden="1" customHeight="1"/>
    <row r="71" ht="15.75" hidden="1" customHeight="1"/>
    <row r="72" ht="15.75" hidden="1" customHeight="1"/>
    <row r="73" ht="15.75" hidden="1" customHeight="1"/>
    <row r="74" ht="15.75" hidden="1" customHeight="1"/>
    <row r="75" ht="15.75" hidden="1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7:C8"/>
    <mergeCell ref="A10:C10"/>
    <mergeCell ref="E10:G10"/>
    <mergeCell ref="I10:K10"/>
    <mergeCell ref="A11:C12"/>
    <mergeCell ref="E11:G12"/>
    <mergeCell ref="I11:K12"/>
    <mergeCell ref="E45:K45"/>
    <mergeCell ref="A1:K2"/>
    <mergeCell ref="A3:K3"/>
    <mergeCell ref="A6:C6"/>
    <mergeCell ref="E6:G6"/>
    <mergeCell ref="I6:K6"/>
    <mergeCell ref="E7:G8"/>
    <mergeCell ref="I7:K8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0"/>
    <col customWidth="1" min="2" max="2" width="20.0"/>
    <col customWidth="1" min="3" max="3" width="34.0"/>
    <col customWidth="1" min="4" max="5" width="16.0"/>
    <col customWidth="1" min="6" max="6" width="18.0"/>
    <col customWidth="1" min="7" max="8" width="45.0"/>
    <col customWidth="1" min="9" max="9" width="22.0"/>
    <col customWidth="1" min="10" max="10" width="28.0"/>
    <col customWidth="1" min="11" max="11" width="24.0"/>
    <col customWidth="1" min="12" max="12" width="22.0"/>
    <col customWidth="1" min="13" max="13" width="16.0"/>
    <col customWidth="1" min="14" max="26" width="8.71"/>
  </cols>
  <sheetData>
    <row r="1">
      <c r="A1" s="6" t="s">
        <v>0</v>
      </c>
      <c r="B1" s="6" t="s">
        <v>1</v>
      </c>
      <c r="C1" s="6" t="s">
        <v>3</v>
      </c>
      <c r="D1" s="6" t="s">
        <v>4</v>
      </c>
      <c r="E1" s="10" t="s">
        <v>5</v>
      </c>
      <c r="F1" s="6" t="s">
        <v>8</v>
      </c>
      <c r="G1" s="6" t="s">
        <v>9</v>
      </c>
      <c r="H1" s="6" t="s">
        <v>10</v>
      </c>
      <c r="I1" s="6" t="s">
        <v>11</v>
      </c>
      <c r="J1" s="6" t="s">
        <v>12</v>
      </c>
      <c r="K1" s="6" t="s">
        <v>13</v>
      </c>
      <c r="L1" s="6" t="s">
        <v>14</v>
      </c>
      <c r="M1" s="6" t="s">
        <v>16</v>
      </c>
    </row>
    <row r="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</row>
    <row r="8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1000"/>
  <conditionalFormatting sqref="D2:E1000">
    <cfRule type="expression" dxfId="0" priority="1">
      <formula>OR($D2="MUST",$D2="MUST NOT")</formula>
    </cfRule>
  </conditionalFormatting>
  <conditionalFormatting sqref="D2:E1000">
    <cfRule type="expression" dxfId="1" priority="2">
      <formula>OR($D2="SHOULD",$D2="SHOULD NOT")</formula>
    </cfRule>
  </conditionalFormatting>
  <conditionalFormatting sqref="I2:I1000">
    <cfRule type="expression" dxfId="2" priority="3">
      <formula>$I2="Remediated"</formula>
    </cfRule>
  </conditionalFormatting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2026-08-11T05:51:01Z</dcterms:created>
  <dc:creator>openpyxl</dc:creator>
</cp:coreProperties>
</file>